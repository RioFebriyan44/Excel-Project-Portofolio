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10\Desktop\Learning Excel\"/>
    </mc:Choice>
  </mc:AlternateContent>
  <xr:revisionPtr revIDLastSave="0" documentId="13_ncr:1_{7A06183C-A4A5-40F4-B393-6AB2FAC3B178}" xr6:coauthVersionLast="47" xr6:coauthVersionMax="47" xr10:uidLastSave="{00000000-0000-0000-0000-000000000000}"/>
  <bookViews>
    <workbookView xWindow="-110" yWindow="-110" windowWidth="19420" windowHeight="10420" firstSheet="3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2" l="1"/>
  <c r="B12" i="7"/>
  <c r="B12" i="4"/>
  <c r="B2" i="4"/>
  <c r="B10" i="9"/>
  <c r="B11" i="1" a="1"/>
  <c r="B11" i="1" s="1"/>
  <c r="B14" i="2"/>
  <c r="B11" i="7"/>
  <c r="B11" i="4"/>
  <c r="B4" i="9"/>
  <c r="B8" i="9"/>
  <c r="B3" i="9"/>
  <c r="B12" i="8" a="1"/>
  <c r="B12" i="8" s="1"/>
  <c r="B10" i="8"/>
  <c r="B10" i="6" a="1"/>
  <c r="B10" i="6" s="1"/>
  <c r="B11" i="2"/>
  <c r="B9" i="7"/>
  <c r="B9" i="4"/>
  <c r="B4" i="8"/>
  <c r="B3" i="6" a="1"/>
  <c r="B3" i="6" s="1"/>
  <c r="B8" i="1"/>
  <c r="B4" i="1"/>
  <c r="B5" i="1"/>
  <c r="B6" i="1"/>
  <c r="B4" i="2"/>
  <c r="B5" i="2"/>
  <c r="B3" i="2"/>
  <c r="B7" i="7"/>
  <c r="B3" i="7"/>
  <c r="B4" i="7"/>
  <c r="B2" i="7"/>
  <c r="B4" i="4"/>
  <c r="B3" i="4"/>
  <c r="B6" i="8"/>
  <c r="B5" i="8"/>
  <c r="B3" i="8"/>
  <c r="B4" i="6" a="1"/>
  <c r="B4" i="6" s="1"/>
  <c r="B5" i="6" a="1"/>
  <c r="B5" i="6" s="1"/>
  <c r="B6" i="6" a="1"/>
  <c r="B6" i="6" s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<sst xmlns="http://schemas.openxmlformats.org/spreadsheetml/2006/main" count="485" uniqueCount="92">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</sst>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O23"/>
  <sheetViews>
    <sheetView workbookViewId="0">
      <selection activeCell="B11" sqref="B11"/>
    </sheetView>
  </sheetViews>
  <sheetFormatPr defaultRowHeight="14.5" x14ac:dyDescent="0.35"/>
  <cols>
    <col min="2" max="2" width="24.54296875" customWidth="1"/>
    <col min="8" max="8" width="14.6328125" bestFit="1" customWidth="1"/>
    <col min="12" max="12" width="15.81640625" bestFit="1" customWidth="1"/>
    <col min="16" max="16" width="40.6328125" bestFit="1" customWidth="1"/>
  </cols>
  <sheetData>
    <row r="1" spans="1:15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5">
      <c r="A3" t="s">
        <v>65</v>
      </c>
      <c r="B3" t="str">
        <f>_xlfn.XLOOKUP(A3,H2:H10,O2:O10)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5">
      <c r="A4" t="s">
        <v>62</v>
      </c>
      <c r="B4" t="str">
        <f t="shared" ref="B4:B6" si="0">_xlfn.XLOOKUP(A4,H3:H11,O3:O11)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5">
      <c r="B8" t="str">
        <f>_xlfn.XLOOKUP(A3,H1:H10,O1:O10)</f>
        <v>Toby.Flenderson@DunderMifflinCorporate.com</v>
      </c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11" spans="1:15" x14ac:dyDescent="0.35">
      <c r="B11" t="str" cm="1">
        <f t="array" ref="B11:C11">_xlfn.XLOOKUP(A4,H1:H10,O1:P10,"Not Found")</f>
        <v>Pam.Beasley@DunderMifflin.com</v>
      </c>
      <c r="C11">
        <v>0</v>
      </c>
    </row>
    <row r="22" spans="8:8" x14ac:dyDescent="0.35">
      <c r="H22" t="str">
        <f t="shared" ref="H22:H23" si="1">CONCATENATE(F12," ",G12)</f>
        <v xml:space="preserve"> </v>
      </c>
    </row>
    <row r="23" spans="8:8" x14ac:dyDescent="0.3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C3" sqref="C3"/>
    </sheetView>
  </sheetViews>
  <sheetFormatPr defaultRowHeight="14.5" x14ac:dyDescent="0.35"/>
  <cols>
    <col min="1" max="1" width="14.6328125" bestFit="1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B10" t="str" cm="1">
        <f t="array" ref="B10:C10">_xlfn.XLOOKUP(A5,I1:I10,O1:P10)</f>
        <v>9/11/2013</v>
      </c>
      <c r="C10" t="str">
        <v>Meredith.Palmer@Yahoo.com</v>
      </c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6" sqref="B6"/>
    </sheetView>
  </sheetViews>
  <sheetFormatPr defaultRowHeight="14.5" x14ac:dyDescent="0.35"/>
  <cols>
    <col min="1" max="1" width="14.6328125" bestFit="1" customWidth="1"/>
    <col min="2" max="2" width="24.54296875" customWidth="1"/>
    <col min="8" max="8" width="14.6328125" bestFit="1" customWidth="1"/>
    <col min="11" max="11" width="15.81640625" bestFit="1" customWidth="1"/>
    <col min="15" max="15" width="40.6328125" bestFit="1" customWidth="1"/>
  </cols>
  <sheetData>
    <row r="1" spans="1:15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5">
      <c r="A3" t="s">
        <v>86</v>
      </c>
      <c r="B3" t="str">
        <f>_xlfn.XLOOKUP(A3,H2:H10,O2:O10,"Not Found",2)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5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5">
      <c r="A5" t="s">
        <v>46</v>
      </c>
      <c r="B5" t="str">
        <f>_xlfn.XLOOKUP(A5&amp;"*",H2:H10,O2:O10,"Not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5">
      <c r="A6" t="s">
        <v>87</v>
      </c>
      <c r="B6" t="str">
        <f>_xlfn.XLOOKUP(A6&amp;"*",H3:H11,O3:O11,"Not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5">
      <c r="B10" t="str">
        <f>_xlfn.XLOOKUP(A3&amp;"*",H1:H10,O1:O10,,2)</f>
        <v>Toby.Flenderson@DunderMifflinCorporate.com</v>
      </c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12" spans="1:15" x14ac:dyDescent="0.35">
      <c r="B12" t="str" cm="1">
        <f t="array" ref="B12:C12">_xlfn.XLOOKUP(A5&amp;"*",H1:H10,N1:O10,,2)</f>
        <v>9/11/2013</v>
      </c>
      <c r="C12" t="str">
        <v>Meredith.Palmer@Yahoo.com</v>
      </c>
    </row>
    <row r="22" spans="8:8" x14ac:dyDescent="0.35">
      <c r="H22" t="str">
        <f t="shared" ref="H22:H23" si="0">CONCATENATE(F12," ",G12)</f>
        <v xml:space="preserve"> </v>
      </c>
    </row>
    <row r="23" spans="8:8" x14ac:dyDescent="0.3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11" sqref="B11"/>
    </sheetView>
  </sheetViews>
  <sheetFormatPr defaultRowHeight="14.5" x14ac:dyDescent="0.35"/>
  <cols>
    <col min="1" max="1" width="14.6328125" bestFit="1" customWidth="1"/>
    <col min="2" max="2" width="14.81640625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s="1" t="s">
        <v>38</v>
      </c>
      <c r="B4" t="str">
        <f>_xlfn.XLOOKUP(A4,N2:N10,I2:I10,,,1)</f>
        <v>Toby Flenderson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s="3" t="s">
        <v>44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B8" t="str">
        <f>_xlfn.XLOOKUP(A3,N1:N10,I1:I10,"not found",1)</f>
        <v>Angela Martin</v>
      </c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B10" t="str">
        <f>_xlfn.XLOOKUP(A5,O1:O10,I1:I10,,,-1)</f>
        <v>Meredith Palmer</v>
      </c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12"/>
  <sheetViews>
    <sheetView topLeftCell="G1" workbookViewId="0">
      <selection activeCell="B13" sqref="B13"/>
    </sheetView>
  </sheetViews>
  <sheetFormatPr defaultColWidth="10.08984375" defaultRowHeight="14.5" x14ac:dyDescent="0.35"/>
  <cols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B3">
        <f>_xlfn.XLOOKUP(I1,H1:S1,H3:S3)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B4">
        <f>_xlfn.XLOOKUP(I1,H1:S1,H4:S4)</f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9" spans="1:19" x14ac:dyDescent="0.35">
      <c r="B9">
        <f>_xlfn.XLOOKUP(I1,H1:S1,H2:S2)</f>
        <v>310</v>
      </c>
    </row>
    <row r="11" spans="1:19" x14ac:dyDescent="0.35">
      <c r="B11">
        <f>_xlfn.XLOOKUP(I1,H1:S1,H3:S3)</f>
        <v>40</v>
      </c>
    </row>
    <row r="12" spans="1:19" x14ac:dyDescent="0.35">
      <c r="B12">
        <f>_xlfn.XLOOKUP(J1,H1:S1,H3:S3)</f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12"/>
  <sheetViews>
    <sheetView workbookViewId="0">
      <selection activeCell="B13" sqref="B13"/>
    </sheetView>
  </sheetViews>
  <sheetFormatPr defaultColWidth="10.08984375" defaultRowHeight="14.5" x14ac:dyDescent="0.35"/>
  <cols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5">
      <c r="B6" t="s">
        <v>85</v>
      </c>
    </row>
    <row r="7" spans="1:19" x14ac:dyDescent="0.35">
      <c r="A7" t="s">
        <v>70</v>
      </c>
      <c r="B7">
        <f>SUM(_xlfn.XLOOKUP(I1,H1:S1,H2:S2):_xlfn.XLOOKUP(J1,H1:S1,H2:S2))</f>
        <v>460</v>
      </c>
    </row>
    <row r="9" spans="1:19" x14ac:dyDescent="0.35">
      <c r="B9">
        <f>SUM(_xlfn.XLOOKUP(J1,H1:S1,H3:S3):_xlfn.XLOOKUP(K1,H1:S1,H3:S3))</f>
        <v>115</v>
      </c>
    </row>
    <row r="11" spans="1:19" x14ac:dyDescent="0.35">
      <c r="B11">
        <f>SUM(_xlfn.XLOOKUP(I1,H1:S1,H4:S4):_xlfn.XLOOKUP(L1,H1:S1,H4:S4))</f>
        <v>518</v>
      </c>
    </row>
    <row r="12" spans="1:19" x14ac:dyDescent="0.35">
      <c r="B12">
        <f>SUM(_xlfn.XLOOKUP(I1,H1:S1,H2:S2):_xlfn.XLOOKUP(M1,H1:S1,H2:S2))</f>
        <v>2135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5"/>
  <sheetViews>
    <sheetView tabSelected="1" workbookViewId="0">
      <selection activeCell="B16" sqref="B16"/>
    </sheetView>
  </sheetViews>
  <sheetFormatPr defaultRowHeight="14.5" x14ac:dyDescent="0.35"/>
  <cols>
    <col min="1" max="1" width="14.453125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63</v>
      </c>
      <c r="B3" t="str">
        <f>VLOOKUP(A3,H1:S10,9,"False")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66</v>
      </c>
      <c r="B4" t="str">
        <f t="shared" ref="B4:B5" si="0">VLOOKUP(A4,H2:S11,9,"False")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1" spans="1:16" x14ac:dyDescent="0.35">
      <c r="B11" t="str">
        <f>VLOOKUP(A5,H1:S10,9,"False")</f>
        <v>Stanley.Hudson@gmail.com</v>
      </c>
    </row>
    <row r="14" spans="1:16" x14ac:dyDescent="0.35">
      <c r="B14" t="str">
        <f>VLOOKUP(A5,H1:P10,9)</f>
        <v>Stanley.Hudson@gmail.com</v>
      </c>
    </row>
    <row r="15" spans="1:16" x14ac:dyDescent="0.35">
      <c r="B15" t="str">
        <f>VLOOKUP(A4,H1:S10,5)</f>
        <v>Supplier Relations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Rio Febriyan</cp:lastModifiedBy>
  <dcterms:created xsi:type="dcterms:W3CDTF">2021-12-20T02:45:32Z</dcterms:created>
  <dcterms:modified xsi:type="dcterms:W3CDTF">2025-12-30T12:27:02Z</dcterms:modified>
</cp:coreProperties>
</file>